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J:\O'CLOCK\CINEDELICES-V3\cinedelices-v3\20260506-DOSSIER DE PROJET\DOCUMENTS-FINAL\20260519-files-docs-v2\"/>
    </mc:Choice>
  </mc:AlternateContent>
  <xr:revisionPtr revIDLastSave="0" documentId="11_9935B6327DB684C64DC2F8FB1DCAF68AB9AF59B1" xr6:coauthVersionLast="47" xr6:coauthVersionMax="47" xr10:uidLastSave="{00000000-0000-0000-0000-000000000000}"/>
  <bookViews>
    <workbookView xWindow="-108" yWindow="-108" windowWidth="23256" windowHeight="12456" tabRatio="500" activeTab="2" xr2:uid="{00000000-000D-0000-FFFF-FFFF00000000}"/>
  </bookViews>
  <sheets>
    <sheet name="Synthèse" sheetId="1" r:id="rId1"/>
    <sheet name="Cas de test" sheetId="2" r:id="rId2"/>
    <sheet name="Comptes seed" sheetId="3" r:id="rId3"/>
  </sheets>
  <definedNames>
    <definedName name="_xlnm.Print_Titles" localSheetId="1">'Cas de test'!$1:$3</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8" i="1" l="1"/>
  <c r="B17" i="1"/>
  <c r="B16" i="1"/>
  <c r="B19" i="1" l="1"/>
</calcChain>
</file>

<file path=xl/sharedStrings.xml><?xml version="1.0" encoding="utf-8"?>
<sst xmlns="http://schemas.openxmlformats.org/spreadsheetml/2006/main" count="154" uniqueCount="139">
  <si>
    <t>Jeu d'essai — Cinés Délices</t>
  </si>
  <si>
    <t>Validation manuelle du workflow critique — 10 cas T01 à T10</t>
  </si>
  <si>
    <t>Contexte d'exécution</t>
  </si>
  <si>
    <t>Auteure</t>
  </si>
  <si>
    <t>Nathalie Leduc — Promotion Francfort 2026 (O'Clock)</t>
  </si>
  <si>
    <t>Date d'exécution</t>
  </si>
  <si>
    <t>28 avril 2026</t>
  </si>
  <si>
    <t>Environnement</t>
  </si>
  <si>
    <t>Railway production</t>
  </si>
  <si>
    <t>URL Front</t>
  </si>
  <si>
    <t>https://graceful-quietude-production.up.railway.app</t>
  </si>
  <si>
    <t>URL API</t>
  </si>
  <si>
    <t>https://cines-delicesapi-production.up.railway.app</t>
  </si>
  <si>
    <t>Comptes utilisés</t>
  </si>
  <si>
    <t>admin@cinesdelices.fr (ADMIN), marie@cinesdelices.fr (MEMBER)</t>
  </si>
  <si>
    <t>Outils</t>
  </si>
  <si>
    <t>Navigateur Chrome (UI) + API Rest Client pour VS Code (API directe)</t>
  </si>
  <si>
    <t>Référence dossier</t>
  </si>
  <si>
    <t>§10 + Annexe 15 du Dossier de Projet v4</t>
  </si>
  <si>
    <t>Résultat global</t>
  </si>
  <si>
    <t>Métrique</t>
  </si>
  <si>
    <t>Valeur</t>
  </si>
  <si>
    <t>Nombre de cas planifiés</t>
  </si>
  <si>
    <t>Nombre de cas PASS</t>
  </si>
  <si>
    <t>Nombre de cas FAIL</t>
  </si>
  <si>
    <t>Taux de réussite</t>
  </si>
  <si>
    <t>Conclusion</t>
  </si>
  <si>
    <t>10/10 cas PASS. Aucune régression détectée entre l'environnement Docker local et l'environnement Railway de production. Le workflow critique est conforme aux User Stories §2.4 du dossier et aux règles de gestion RG-01 à RG-06.</t>
  </si>
  <si>
    <t>Détail des cas de test T01 → T10</t>
  </si>
  <si>
    <t>N°</t>
  </si>
  <si>
    <t>Fonctionnalité testée</t>
  </si>
  <si>
    <t>US / RG associée</t>
  </si>
  <si>
    <t>Pré-conditions</t>
  </si>
  <si>
    <t>Données d'entrée</t>
  </si>
  <si>
    <t>Étapes / Actions</t>
  </si>
  <si>
    <t>Résultat attendu</t>
  </si>
  <si>
    <t>Résultat obtenu</t>
  </si>
  <si>
    <t>Statut</t>
  </si>
  <si>
    <t>T01</t>
  </si>
  <si>
    <t>Connexion membre (JWT)</t>
  </si>
  <si>
    <t>US-Auth-01</t>
  </si>
  <si>
    <t>Compte marie@cinesdelices.fr existe en base (seed v-4).</t>
  </si>
  <si>
    <t>POST /api/auth/login
Body : { "email": "marie@cinesdelices.fr", "password": "Member1234!" }</t>
  </si>
  <si>
    <t>1. Envoyer la requête via API Rest Client
2. Inspecter la réponse JSON
3. Vérifier le payload du JWT sur jwt.io</t>
  </si>
  <si>
    <t>200 OK
Body contient un champ token (chaîne JWT)
Payload valide, signature OK</t>
  </si>
  <si>
    <t>200 OK
Token JWT reçu, payload contient id et role (MEMBER), signature HMAC SHA-256 OK</t>
  </si>
  <si>
    <t>PASS</t>
  </si>
  <si>
    <t>T02</t>
  </si>
  <si>
    <t>Création recette en DRAFT</t>
  </si>
  <si>
    <t>US-Recipe-01
RG-02</t>
  </si>
  <si>
    <t>T01 OK (JWT membre récupéré)
Catégorie « Plat » présente en base</t>
  </si>
  <si>
    <t>POST /api/recipes (multipart/form-data)
Headers : Authorization: Bearer &lt;JWT T01&gt;
Form : titre, categoryId, filmId (TMDB), image .jpg 2 MB, 3 ingrédients, étapes
submitForReview : false</t>
  </si>
  <si>
    <t>1. Sélectionner un film TMDB (autocomplétion)
2. Ajouter une image .jpg de 2 MB
3. Cliquer « Enregistrer en brouillon »</t>
  </si>
  <si>
    <t>201 Created
Body { id, slug, status: "DRAFT" }
Image convertie en .webp (-70 % de poids)
Aucune notification admin</t>
  </si>
  <si>
    <t>201 Created
status DRAFT confirmé en BDD
recipe-1714xxx.webp générée (684 KB → 198 KB, -71 %)
Aucune notification créée</t>
  </si>
  <si>
    <t>T03</t>
  </si>
  <si>
    <t>Soumission DRAFT → PENDING</t>
  </si>
  <si>
    <t>US-Recipe-02
RG-04</t>
  </si>
  <si>
    <t>T02 OK (recette en DRAFT créée)</t>
  </si>
  <si>
    <t>PATCH /api/recipes/:id/submit
Headers : Authorization: Bearer &lt;JWT T01&gt;</t>
  </si>
  <si>
    <t>1. Cliquer « Soumettre » sur la recette DRAFT
2. Vérifier le changement de statut
3. Vérifier la création de notification admin</t>
  </si>
  <si>
    <t>200 OK
status PENDING
1 notification créée pour chaque admin (transaction Prisma)</t>
  </si>
  <si>
    <t>200 OK
status PENDING en BDD
Notification visible dans /admin/notifications (3 admins notifiés)</t>
  </si>
  <si>
    <t>T04</t>
  </si>
  <si>
    <t>Accès admin à la liste PENDING</t>
  </si>
  <si>
    <t>US-Admin-01
RG-05</t>
  </si>
  <si>
    <t>T03 OK + compte admin connecté</t>
  </si>
  <si>
    <t>GET /api/admin/recipes/pending
Headers : Authorization: Bearer &lt;JWT admin&gt;</t>
  </si>
  <si>
    <t>1. Se connecter en tant qu'admin
2. Accéder à la liste des recettes en attente
3. Vérifier la présence de la recette T02/T03</t>
  </si>
  <si>
    <t>200 OK
Array contient la recette créée en T02 avec status PENDING</t>
  </si>
  <si>
    <t>200 OK
La recette est listée avec son titre, son auteur (Marie) et son statut PENDING</t>
  </si>
  <si>
    <t>T05</t>
  </si>
  <si>
    <t>Validation admin → PUBLISHED</t>
  </si>
  <si>
    <t>US-Admin-02
RG-05</t>
  </si>
  <si>
    <t>T04 OK (recette identifiée par admin)</t>
  </si>
  <si>
    <t>PATCH /api/admin/recipes/:id/publish
Headers : Authorization: Bearer &lt;JWT admin&gt;</t>
  </si>
  <si>
    <t>1. Cliquer « Valider » sur la recette PENDING
2. Vérifier le changement de statut
3. Vérifier la notification créée côté membre</t>
  </si>
  <si>
    <t>200 OK
status PUBLISHED
Notification « Recette publiée » pour le membre (auteur)</t>
  </si>
  <si>
    <t>200 OK
status PUBLISHED en BDD
Notification créée pour Marie (isRead = false)</t>
  </si>
  <si>
    <t>T06</t>
  </si>
  <si>
    <t>Réception notification membre</t>
  </si>
  <si>
    <t>US-Notif-01</t>
  </si>
  <si>
    <t>T05 OK (notification créée)</t>
  </si>
  <si>
    <t>GET /api/users/me/notifications
Headers : Authorization: Bearer &lt;JWT Marie&gt;</t>
  </si>
  <si>
    <t>1. Se reconnecter en tant que Marie
2. Cliquer sur la cloche notifications
3. Lire le message</t>
  </si>
  <si>
    <t>200 OK
Au moins 1 notification non lue
Message contient « Votre recette a été publiée »</t>
  </si>
  <si>
    <t>200 OK
1 notification isRead: false, message exact « Votre recette a été publiée »</t>
  </si>
  <si>
    <t>T07</t>
  </si>
  <si>
    <t>Refus suppression recette PUBLISHED</t>
  </si>
  <si>
    <t>RG-03</t>
  </si>
  <si>
    <t>T05 OK (recette PUBLISHED)
Marie connectée</t>
  </si>
  <si>
    <t>DELETE /api/recipes/:id (recette PUBLISHED)
Headers : Authorization: Bearer &lt;JWT Marie&gt;</t>
  </si>
  <si>
    <t>1. Tenter de supprimer une recette PUBLISHED depuis l'UI ou Postman
2. Vérifier la réponse 403</t>
  </si>
  <si>
    <t>403 Forbidden
Message explicite : un membre ne peut pas supprimer une recette PUBLISHED (RG-03)</t>
  </si>
  <si>
    <t>403 Forbidden
Message : « Cette recette ne peut plus être supprimée car elle est publiée »</t>
  </si>
  <si>
    <t>T08</t>
  </si>
  <si>
    <t>Refus admin avec motif</t>
  </si>
  <si>
    <t>US-Admin-03
RG-06</t>
  </si>
  <si>
    <t>Une nouvelle recette PENDING (resoumise par Marie)</t>
  </si>
  <si>
    <t>PATCH /api/admin/recipes/:id/reject
Headers : Authorization: Bearer &lt;JWT admin&gt;
Body : { "rejectionReason": "Photo de mauvaise qualité, veuillez la refaire." }</t>
  </si>
  <si>
    <t>1. Cliquer « Refuser » sur la recette PENDING
2. Saisir le motif obligatoire
3. Vérifier le retour à DRAFT + notification motif</t>
  </si>
  <si>
    <t>200 OK
status DRAFT
rejectionReason persisté
Notification membre contient le motif</t>
  </si>
  <si>
    <t>200 OK
status DRAFT, champ rejectionReason rempli
Notification Marie : « Recette refusée : Photo de mauvaise qualité... »</t>
  </si>
  <si>
    <t>T09</t>
  </si>
  <si>
    <t>Refus upload format invalide</t>
  </si>
  <si>
    <t>RG-02
OWASP A04</t>
  </si>
  <si>
    <t>JWT membre valide</t>
  </si>
  <si>
    <t>POST /api/recipes (multipart)
Fichier : document.pdf (au lieu d'une image)</t>
  </si>
  <si>
    <t>1. Tenter l'upload d'un PDF via le formulaire ou Postman
2. Vérifier le rejet par fileFilter Multer</t>
  </si>
  <si>
    <t>400 Bad Request
Message : « Seuls les fichiers PNG, JPG, JPEG ou WEBP sont acceptes. »
Aucune écriture sur le disque</t>
  </si>
  <si>
    <t>400 Bad Request
Message exact reçu
Aucun fichier dans /uploads/</t>
  </si>
  <si>
    <t>T10</t>
  </si>
  <si>
    <t>Refus accès route admin sans token</t>
  </si>
  <si>
    <t>OWASP A01
OWASP A07</t>
  </si>
  <si>
    <t>Aucune (test d'accès non authentifié)</t>
  </si>
  <si>
    <t>GET /api/admin/recipes/pending
Headers : aucun (Authorization absent)</t>
  </si>
  <si>
    <t>1. Envoyer la requête sans header Authorization
2. Vérifier que authMiddleware bloque AVANT adminMiddleware</t>
  </si>
  <si>
    <t>401 Unauthorized
Message : « Token manquant ou mal formaté »
Le middleware d'auth bloque avant celui d'admin</t>
  </si>
  <si>
    <t>401 Unauthorized
Message exact reçu
Log serveur confirme l'interception par authMiddleware</t>
  </si>
  <si>
    <t>Comptes de test (seed v-4)</t>
  </si>
  <si>
    <t>Rôle</t>
  </si>
  <si>
    <t>Email</t>
  </si>
  <si>
    <t>Mot de passe</t>
  </si>
  <si>
    <t>Admin</t>
  </si>
  <si>
    <t>admin@cinesdelices.fr</t>
  </si>
  <si>
    <t>Admin1234!</t>
  </si>
  <si>
    <t>sophie.martin@cinesdelices.fr</t>
  </si>
  <si>
    <t>luca.bernard@cinesdelices.fr</t>
  </si>
  <si>
    <t>Membre</t>
  </si>
  <si>
    <t>marie@cinesdelices.fr</t>
  </si>
  <si>
    <t>Member1234!</t>
  </si>
  <si>
    <t>remy@cinesdelices.fr</t>
  </si>
  <si>
    <t>Comment obtenir un JWT pour tester via Swagger</t>
  </si>
  <si>
    <t>1. Aller sur https://cines-delicesapi-production.up.railway.app/api/docs</t>
  </si>
  <si>
    <t>2. Appeler POST /api/auth/login avec un compte ci-dessus</t>
  </si>
  <si>
    <t>3. Copier la valeur du champ 'token' de la réponse JSON</t>
  </si>
  <si>
    <t>4. Cliquer sur le bouton 'Authorize' (cadenas en haut à droite)</t>
  </si>
  <si>
    <t>5. Coller le token dans le champ 'bearerAuth' et valider</t>
  </si>
  <si>
    <t>6. Les routes protégées peuvent maintenant être testées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</si>
</sst>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theme="1"/>
      <name val="Calibri"/>
      <family val="2"/>
      <charset val="1"/>
    </font>
    <font>
      <b/>
      <sz val="18"/>
      <color rgb="FFFFFFFF"/>
      <name val="Calibri"/>
      <family val="2"/>
    </font>
    <font>
      <i/>
      <sz val="11"/>
      <color rgb="FF555555"/>
      <name val="Calibri"/>
      <family val="2"/>
    </font>
    <font>
      <b/>
      <sz val="13"/>
      <color rgb="FF8E1F2F"/>
      <name val="Calibri"/>
      <family val="2"/>
    </font>
    <font>
      <b/>
      <sz val="10"/>
      <name val="Calibri"/>
      <family val="2"/>
    </font>
    <font>
      <sz val="10"/>
      <name val="Calibri"/>
      <family val="2"/>
    </font>
    <font>
      <b/>
      <sz val="11"/>
      <color rgb="FFFFFFFF"/>
      <name val="Calibri"/>
      <family val="2"/>
    </font>
    <font>
      <b/>
      <sz val="11"/>
      <name val="Calibri"/>
      <family val="2"/>
    </font>
    <font>
      <b/>
      <sz val="12"/>
      <color rgb="FF006100"/>
      <name val="Calibri"/>
      <family val="2"/>
    </font>
    <font>
      <i/>
      <sz val="10"/>
      <name val="Calibri"/>
      <family val="2"/>
    </font>
    <font>
      <b/>
      <sz val="14"/>
      <color rgb="FFFFFFFF"/>
      <name val="Calibri"/>
      <family val="2"/>
    </font>
    <font>
      <b/>
      <sz val="11"/>
      <color rgb="FF006100"/>
      <name val="Calibri"/>
      <family val="2"/>
    </font>
    <font>
      <sz val="10"/>
      <name val="Consolas"/>
      <family val="3"/>
    </font>
    <font>
      <b/>
      <sz val="12"/>
      <color rgb="FF8E1F2F"/>
      <name val="Calibri"/>
      <family val="2"/>
    </font>
  </fonts>
  <fills count="5">
    <fill>
      <patternFill patternType="none"/>
    </fill>
    <fill>
      <patternFill patternType="gray125"/>
    </fill>
    <fill>
      <patternFill patternType="solid">
        <fgColor rgb="FF8E1F2F"/>
        <bgColor rgb="FF993366"/>
      </patternFill>
    </fill>
    <fill>
      <patternFill patternType="solid">
        <fgColor rgb="FFF2EFE8"/>
        <bgColor rgb="FFFFFFFF"/>
      </patternFill>
    </fill>
    <fill>
      <patternFill patternType="solid">
        <fgColor rgb="FFC6EFCE"/>
        <bgColor rgb="FFCCFFFF"/>
      </patternFill>
    </fill>
  </fills>
  <borders count="7">
    <border>
      <left/>
      <right/>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style="thin">
        <color rgb="FF999999"/>
      </left>
      <right/>
      <top style="thin">
        <color rgb="FF999999"/>
      </top>
      <bottom/>
      <diagonal/>
    </border>
    <border>
      <left/>
      <right/>
      <top style="thin">
        <color rgb="FF999999"/>
      </top>
      <bottom/>
      <diagonal/>
    </border>
    <border>
      <left/>
      <right/>
      <top style="thin">
        <color rgb="FF999999"/>
      </top>
      <bottom style="thin">
        <color rgb="FF999999"/>
      </bottom>
      <diagonal/>
    </border>
    <border>
      <left style="thin">
        <color rgb="FF999999"/>
      </left>
      <right/>
      <top/>
      <bottom/>
      <diagonal/>
    </border>
  </borders>
  <cellStyleXfs count="1">
    <xf numFmtId="0" fontId="0" fillId="0" borderId="0"/>
  </cellStyleXfs>
  <cellXfs count="25">
    <xf numFmtId="0" fontId="0" fillId="0" borderId="0" xfId="0"/>
    <xf numFmtId="0" fontId="4" fillId="3" borderId="1" xfId="0" applyFont="1" applyFill="1" applyBorder="1" applyAlignment="1">
      <alignment horizontal="left" vertical="center"/>
    </xf>
    <xf numFmtId="0" fontId="6" fillId="2" borderId="1" xfId="0" applyFont="1" applyFill="1" applyBorder="1" applyAlignment="1">
      <alignment horizontal="center" vertical="center" wrapText="1"/>
    </xf>
    <xf numFmtId="0" fontId="4" fillId="3" borderId="1" xfId="0" applyFont="1" applyFill="1" applyBorder="1" applyAlignment="1">
      <alignment horizontal="center" vertical="top" wrapText="1"/>
    </xf>
    <xf numFmtId="0" fontId="4" fillId="0" borderId="1" xfId="0" applyFont="1" applyBorder="1" applyAlignment="1">
      <alignment horizontal="left" vertical="top" wrapText="1"/>
    </xf>
    <xf numFmtId="0" fontId="5" fillId="0" borderId="1" xfId="0" applyFont="1" applyBorder="1" applyAlignment="1">
      <alignment horizontal="center" vertical="top" wrapText="1"/>
    </xf>
    <xf numFmtId="0" fontId="5" fillId="0" borderId="1" xfId="0" applyFont="1" applyBorder="1" applyAlignment="1">
      <alignment horizontal="left" vertical="top" wrapText="1"/>
    </xf>
    <xf numFmtId="0" fontId="11" fillId="4" borderId="1" xfId="0" applyFont="1" applyFill="1" applyBorder="1" applyAlignment="1">
      <alignment horizontal="center" vertical="center"/>
    </xf>
    <xf numFmtId="0" fontId="12" fillId="0" borderId="1" xfId="0" applyFont="1" applyBorder="1" applyAlignment="1">
      <alignment horizontal="left" vertical="center"/>
    </xf>
    <xf numFmtId="0" fontId="4" fillId="0" borderId="1" xfId="0" applyFont="1" applyBorder="1" applyAlignment="1">
      <alignment horizontal="center" vertical="top" wrapText="1"/>
    </xf>
    <xf numFmtId="0" fontId="5" fillId="0" borderId="2" xfId="0" applyFont="1" applyBorder="1" applyAlignment="1">
      <alignment horizontal="left" vertical="center"/>
    </xf>
    <xf numFmtId="0" fontId="0" fillId="0" borderId="5" xfId="0" applyBorder="1"/>
    <xf numFmtId="0" fontId="6" fillId="2" borderId="2" xfId="0" applyFont="1" applyFill="1" applyBorder="1" applyAlignment="1">
      <alignment horizontal="center" vertical="center" wrapText="1"/>
    </xf>
    <xf numFmtId="0" fontId="1" fillId="2" borderId="0" xfId="0" applyFont="1" applyFill="1" applyAlignment="1">
      <alignment horizontal="center" vertical="center"/>
    </xf>
    <xf numFmtId="0" fontId="0" fillId="0" borderId="0" xfId="0"/>
    <xf numFmtId="0" fontId="9" fillId="3" borderId="3" xfId="0" applyFont="1" applyFill="1" applyBorder="1" applyAlignment="1">
      <alignment horizontal="left" vertical="top" wrapText="1"/>
    </xf>
    <xf numFmtId="0" fontId="0" fillId="0" borderId="4" xfId="0" applyBorder="1"/>
    <xf numFmtId="0" fontId="0" fillId="0" borderId="6" xfId="0" applyBorder="1"/>
    <xf numFmtId="0" fontId="7" fillId="0" borderId="2" xfId="0" applyFont="1" applyBorder="1" applyAlignment="1">
      <alignment horizontal="left" vertical="center"/>
    </xf>
    <xf numFmtId="0" fontId="3" fillId="0" borderId="0" xfId="0" applyFont="1"/>
    <xf numFmtId="0" fontId="2" fillId="0" borderId="0" xfId="0" applyFont="1" applyAlignment="1">
      <alignment horizontal="center" vertical="center"/>
    </xf>
    <xf numFmtId="164" fontId="8" fillId="4" borderId="2" xfId="0" applyNumberFormat="1" applyFont="1" applyFill="1" applyBorder="1" applyAlignment="1">
      <alignment horizontal="left" vertical="center"/>
    </xf>
    <xf numFmtId="0" fontId="10" fillId="2" borderId="0" xfId="0" applyFont="1" applyFill="1" applyAlignment="1">
      <alignment horizontal="center" vertical="center"/>
    </xf>
    <xf numFmtId="0" fontId="13" fillId="0" borderId="0" xfId="0" applyFont="1" applyAlignment="1">
      <alignment horizontal="left" vertical="center"/>
    </xf>
    <xf numFmtId="0" fontId="5" fillId="3" borderId="2" xfId="0" applyFont="1" applyFill="1" applyBorder="1" applyAlignment="1">
      <alignment horizontal="lef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008080"/>
      <rgbColor rgb="FFC0C0C0"/>
      <rgbColor rgb="FF808080"/>
      <rgbColor rgb="FF9999FF"/>
      <rgbColor rgb="FF993366"/>
      <rgbColor rgb="FFF2EFE8"/>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C99"/>
      <rgbColor rgb="FF3366FF"/>
      <rgbColor rgb="FF33CCCC"/>
      <rgbColor rgb="FF99CC00"/>
      <rgbColor rgb="FFFFCC00"/>
      <rgbColor rgb="FFFF9900"/>
      <rgbColor rgb="FFFF6600"/>
      <rgbColor rgb="FF555555"/>
      <rgbColor rgb="FF999999"/>
      <rgbColor rgb="FF003366"/>
      <rgbColor rgb="FF339966"/>
      <rgbColor rgb="FF003300"/>
      <rgbColor rgb="FF333300"/>
      <rgbColor rgb="FF8E1F2F"/>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23"/>
  <sheetViews>
    <sheetView topLeftCell="A17" zoomScaleNormal="100" workbookViewId="0">
      <selection activeCell="H34" sqref="H33:H34"/>
    </sheetView>
  </sheetViews>
  <sheetFormatPr baseColWidth="10" defaultColWidth="8.6640625" defaultRowHeight="14.4" x14ac:dyDescent="0.3"/>
  <cols>
    <col min="1" max="1" width="28" customWidth="1"/>
    <col min="2" max="5" width="22" customWidth="1"/>
  </cols>
  <sheetData>
    <row r="1" spans="1:5" ht="31.5" customHeight="1" x14ac:dyDescent="0.3">
      <c r="A1" s="13" t="s">
        <v>0</v>
      </c>
      <c r="B1" s="14"/>
      <c r="C1" s="14"/>
      <c r="D1" s="14"/>
      <c r="E1" s="14"/>
    </row>
    <row r="2" spans="1:5" ht="21.75" customHeight="1" x14ac:dyDescent="0.3">
      <c r="A2" s="20" t="s">
        <v>1</v>
      </c>
      <c r="B2" s="14"/>
      <c r="C2" s="14"/>
      <c r="D2" s="14"/>
      <c r="E2" s="14"/>
    </row>
    <row r="3" spans="1:5" ht="7.5" customHeight="1" x14ac:dyDescent="0.3"/>
    <row r="4" spans="1:5" ht="16.2" customHeight="1" x14ac:dyDescent="0.35">
      <c r="A4" s="19" t="s">
        <v>2</v>
      </c>
      <c r="B4" s="14"/>
      <c r="C4" s="14"/>
      <c r="D4" s="14"/>
      <c r="E4" s="14"/>
    </row>
    <row r="5" spans="1:5" ht="15" customHeight="1" x14ac:dyDescent="0.3">
      <c r="A5" s="1" t="s">
        <v>3</v>
      </c>
      <c r="B5" s="10" t="s">
        <v>4</v>
      </c>
      <c r="C5" s="11"/>
      <c r="D5" s="11"/>
      <c r="E5" s="11"/>
    </row>
    <row r="6" spans="1:5" ht="15" customHeight="1" x14ac:dyDescent="0.3">
      <c r="A6" s="1" t="s">
        <v>5</v>
      </c>
      <c r="B6" s="10" t="s">
        <v>6</v>
      </c>
      <c r="C6" s="11"/>
      <c r="D6" s="11"/>
      <c r="E6" s="11"/>
    </row>
    <row r="7" spans="1:5" ht="15" customHeight="1" x14ac:dyDescent="0.3">
      <c r="A7" s="1" t="s">
        <v>7</v>
      </c>
      <c r="B7" s="10" t="s">
        <v>8</v>
      </c>
      <c r="C7" s="11"/>
      <c r="D7" s="11"/>
      <c r="E7" s="11"/>
    </row>
    <row r="8" spans="1:5" ht="15" customHeight="1" x14ac:dyDescent="0.3">
      <c r="A8" s="1" t="s">
        <v>9</v>
      </c>
      <c r="B8" s="10" t="s">
        <v>10</v>
      </c>
      <c r="C8" s="11"/>
      <c r="D8" s="11"/>
      <c r="E8" s="11"/>
    </row>
    <row r="9" spans="1:5" ht="15" customHeight="1" x14ac:dyDescent="0.3">
      <c r="A9" s="1" t="s">
        <v>11</v>
      </c>
      <c r="B9" s="10" t="s">
        <v>12</v>
      </c>
      <c r="C9" s="11"/>
      <c r="D9" s="11"/>
      <c r="E9" s="11"/>
    </row>
    <row r="10" spans="1:5" ht="15" customHeight="1" x14ac:dyDescent="0.3">
      <c r="A10" s="1" t="s">
        <v>13</v>
      </c>
      <c r="B10" s="10" t="s">
        <v>14</v>
      </c>
      <c r="C10" s="11"/>
      <c r="D10" s="11"/>
      <c r="E10" s="11"/>
    </row>
    <row r="11" spans="1:5" ht="15" customHeight="1" x14ac:dyDescent="0.3">
      <c r="A11" s="1" t="s">
        <v>15</v>
      </c>
      <c r="B11" s="10" t="s">
        <v>16</v>
      </c>
      <c r="C11" s="11"/>
      <c r="D11" s="11"/>
      <c r="E11" s="11"/>
    </row>
    <row r="12" spans="1:5" ht="15" customHeight="1" x14ac:dyDescent="0.3">
      <c r="A12" s="1" t="s">
        <v>17</v>
      </c>
      <c r="B12" s="10" t="s">
        <v>18</v>
      </c>
      <c r="C12" s="11"/>
      <c r="D12" s="11"/>
      <c r="E12" s="11"/>
    </row>
    <row r="14" spans="1:5" ht="16.2" customHeight="1" x14ac:dyDescent="0.35">
      <c r="A14" s="19" t="s">
        <v>19</v>
      </c>
      <c r="B14" s="14"/>
      <c r="C14" s="14"/>
      <c r="D14" s="14"/>
      <c r="E14" s="14"/>
    </row>
    <row r="15" spans="1:5" ht="15" customHeight="1" x14ac:dyDescent="0.3">
      <c r="A15" s="2" t="s">
        <v>20</v>
      </c>
      <c r="B15" s="12" t="s">
        <v>21</v>
      </c>
      <c r="C15" s="11"/>
      <c r="D15" s="11"/>
      <c r="E15" s="11"/>
    </row>
    <row r="16" spans="1:5" ht="15" customHeight="1" x14ac:dyDescent="0.3">
      <c r="A16" s="1" t="s">
        <v>22</v>
      </c>
      <c r="B16" s="18">
        <f>COUNTA('Cas de test'!A4:A13)</f>
        <v>10</v>
      </c>
      <c r="C16" s="11"/>
      <c r="D16" s="11"/>
      <c r="E16" s="11"/>
    </row>
    <row r="17" spans="1:5" ht="15" customHeight="1" x14ac:dyDescent="0.3">
      <c r="A17" s="1" t="s">
        <v>23</v>
      </c>
      <c r="B17" s="18">
        <f>COUNTIF('Cas de test'!I4:I13,"PASS")</f>
        <v>10</v>
      </c>
      <c r="C17" s="11"/>
      <c r="D17" s="11"/>
      <c r="E17" s="11"/>
    </row>
    <row r="18" spans="1:5" ht="15" customHeight="1" x14ac:dyDescent="0.3">
      <c r="A18" s="1" t="s">
        <v>24</v>
      </c>
      <c r="B18" s="18">
        <f>COUNTIF('Cas de test'!I4:I13,"FAIL")</f>
        <v>0</v>
      </c>
      <c r="C18" s="11"/>
      <c r="D18" s="11"/>
      <c r="E18" s="11"/>
    </row>
    <row r="19" spans="1:5" ht="15" customHeight="1" x14ac:dyDescent="0.3">
      <c r="A19" s="1" t="s">
        <v>25</v>
      </c>
      <c r="B19" s="21">
        <f>B17/B16</f>
        <v>1</v>
      </c>
      <c r="C19" s="11"/>
      <c r="D19" s="11"/>
      <c r="E19" s="11"/>
    </row>
    <row r="21" spans="1:5" ht="16.2" customHeight="1" x14ac:dyDescent="0.35">
      <c r="A21" s="19" t="s">
        <v>26</v>
      </c>
      <c r="B21" s="14"/>
      <c r="C21" s="14"/>
      <c r="D21" s="14"/>
      <c r="E21" s="14"/>
    </row>
    <row r="22" spans="1:5" ht="30" customHeight="1" x14ac:dyDescent="0.3">
      <c r="A22" s="15" t="s">
        <v>27</v>
      </c>
      <c r="B22" s="16"/>
      <c r="C22" s="16"/>
      <c r="D22" s="16"/>
      <c r="E22" s="16"/>
    </row>
    <row r="23" spans="1:5" ht="30" customHeight="1" x14ac:dyDescent="0.3">
      <c r="A23" s="17"/>
      <c r="B23" s="14"/>
      <c r="C23" s="14"/>
      <c r="D23" s="14"/>
      <c r="E23" s="14"/>
    </row>
  </sheetData>
  <mergeCells count="19">
    <mergeCell ref="A22:E23"/>
    <mergeCell ref="B16:E16"/>
    <mergeCell ref="B7:E7"/>
    <mergeCell ref="A21:E21"/>
    <mergeCell ref="B18:E18"/>
    <mergeCell ref="B12:E12"/>
    <mergeCell ref="B11:E11"/>
    <mergeCell ref="A14:E14"/>
    <mergeCell ref="B17:E17"/>
    <mergeCell ref="B8:E8"/>
    <mergeCell ref="B19:E19"/>
    <mergeCell ref="B10:E10"/>
    <mergeCell ref="B9:E9"/>
    <mergeCell ref="B6:E6"/>
    <mergeCell ref="B15:E15"/>
    <mergeCell ref="A1:E1"/>
    <mergeCell ref="B5:E5"/>
    <mergeCell ref="A2:E2"/>
    <mergeCell ref="A4:E4"/>
  </mergeCells>
  <pageMargins left="0.4" right="0.4" top="0.5" bottom="0.5" header="0.5" footer="0.5"/>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13"/>
  <sheetViews>
    <sheetView zoomScaleNormal="100" workbookViewId="0">
      <pane xSplit="1" ySplit="3" topLeftCell="B12" activePane="bottomRight" state="frozen"/>
      <selection pane="topRight" activeCell="B1" sqref="B1"/>
      <selection pane="bottomLeft" activeCell="A4" sqref="A4"/>
      <selection pane="bottomRight" activeCell="F4" sqref="F4"/>
    </sheetView>
  </sheetViews>
  <sheetFormatPr baseColWidth="10" defaultColWidth="8.6640625" defaultRowHeight="14.4" x14ac:dyDescent="0.3"/>
  <cols>
    <col min="1" max="1" width="6" customWidth="1"/>
    <col min="2" max="2" width="26" customWidth="1"/>
    <col min="3" max="3" width="14" customWidth="1"/>
    <col min="4" max="4" width="28" customWidth="1"/>
    <col min="5" max="6" width="38" customWidth="1"/>
    <col min="7" max="8" width="32" customWidth="1"/>
    <col min="9" max="9" width="9" customWidth="1"/>
  </cols>
  <sheetData>
    <row r="1" spans="1:9" ht="27.75" customHeight="1" x14ac:dyDescent="0.3">
      <c r="A1" s="22" t="s">
        <v>28</v>
      </c>
      <c r="B1" s="14"/>
      <c r="C1" s="14"/>
      <c r="D1" s="14"/>
      <c r="E1" s="14"/>
      <c r="F1" s="14"/>
      <c r="G1" s="14"/>
      <c r="H1" s="14"/>
      <c r="I1" s="14"/>
    </row>
    <row r="2" spans="1:9" ht="7.5" customHeight="1" x14ac:dyDescent="0.3"/>
    <row r="3" spans="1:9" ht="36" customHeight="1" x14ac:dyDescent="0.3">
      <c r="A3" s="2" t="s">
        <v>29</v>
      </c>
      <c r="B3" s="2" t="s">
        <v>30</v>
      </c>
      <c r="C3" s="2" t="s">
        <v>31</v>
      </c>
      <c r="D3" s="2" t="s">
        <v>32</v>
      </c>
      <c r="E3" s="2" t="s">
        <v>33</v>
      </c>
      <c r="F3" s="2" t="s">
        <v>34</v>
      </c>
      <c r="G3" s="2" t="s">
        <v>35</v>
      </c>
      <c r="H3" s="2" t="s">
        <v>36</v>
      </c>
      <c r="I3" s="2" t="s">
        <v>37</v>
      </c>
    </row>
    <row r="4" spans="1:9" ht="109.5" customHeight="1" x14ac:dyDescent="0.3">
      <c r="A4" s="3" t="s">
        <v>38</v>
      </c>
      <c r="B4" s="4" t="s">
        <v>39</v>
      </c>
      <c r="C4" s="5" t="s">
        <v>40</v>
      </c>
      <c r="D4" s="6" t="s">
        <v>41</v>
      </c>
      <c r="E4" s="6" t="s">
        <v>42</v>
      </c>
      <c r="F4" s="6" t="s">
        <v>43</v>
      </c>
      <c r="G4" s="6" t="s">
        <v>44</v>
      </c>
      <c r="H4" s="6" t="s">
        <v>45</v>
      </c>
      <c r="I4" s="7" t="s">
        <v>46</v>
      </c>
    </row>
    <row r="5" spans="1:9" ht="109.5" customHeight="1" x14ac:dyDescent="0.3">
      <c r="A5" s="3" t="s">
        <v>47</v>
      </c>
      <c r="B5" s="4" t="s">
        <v>48</v>
      </c>
      <c r="C5" s="5" t="s">
        <v>49</v>
      </c>
      <c r="D5" s="6" t="s">
        <v>50</v>
      </c>
      <c r="E5" s="6" t="s">
        <v>51</v>
      </c>
      <c r="F5" s="6" t="s">
        <v>52</v>
      </c>
      <c r="G5" s="6" t="s">
        <v>53</v>
      </c>
      <c r="H5" s="6" t="s">
        <v>54</v>
      </c>
      <c r="I5" s="7" t="s">
        <v>46</v>
      </c>
    </row>
    <row r="6" spans="1:9" ht="109.5" customHeight="1" x14ac:dyDescent="0.3">
      <c r="A6" s="3" t="s">
        <v>55</v>
      </c>
      <c r="B6" s="4" t="s">
        <v>56</v>
      </c>
      <c r="C6" s="5" t="s">
        <v>57</v>
      </c>
      <c r="D6" s="6" t="s">
        <v>58</v>
      </c>
      <c r="E6" s="6" t="s">
        <v>59</v>
      </c>
      <c r="F6" s="6" t="s">
        <v>60</v>
      </c>
      <c r="G6" s="6" t="s">
        <v>61</v>
      </c>
      <c r="H6" s="6" t="s">
        <v>62</v>
      </c>
      <c r="I6" s="7" t="s">
        <v>46</v>
      </c>
    </row>
    <row r="7" spans="1:9" ht="109.5" customHeight="1" x14ac:dyDescent="0.3">
      <c r="A7" s="3" t="s">
        <v>63</v>
      </c>
      <c r="B7" s="4" t="s">
        <v>64</v>
      </c>
      <c r="C7" s="5" t="s">
        <v>65</v>
      </c>
      <c r="D7" s="6" t="s">
        <v>66</v>
      </c>
      <c r="E7" s="6" t="s">
        <v>67</v>
      </c>
      <c r="F7" s="6" t="s">
        <v>68</v>
      </c>
      <c r="G7" s="6" t="s">
        <v>69</v>
      </c>
      <c r="H7" s="6" t="s">
        <v>70</v>
      </c>
      <c r="I7" s="7" t="s">
        <v>46</v>
      </c>
    </row>
    <row r="8" spans="1:9" ht="109.5" customHeight="1" x14ac:dyDescent="0.3">
      <c r="A8" s="3" t="s">
        <v>71</v>
      </c>
      <c r="B8" s="4" t="s">
        <v>72</v>
      </c>
      <c r="C8" s="5" t="s">
        <v>73</v>
      </c>
      <c r="D8" s="6" t="s">
        <v>74</v>
      </c>
      <c r="E8" s="6" t="s">
        <v>75</v>
      </c>
      <c r="F8" s="6" t="s">
        <v>76</v>
      </c>
      <c r="G8" s="6" t="s">
        <v>77</v>
      </c>
      <c r="H8" s="6" t="s">
        <v>78</v>
      </c>
      <c r="I8" s="7" t="s">
        <v>46</v>
      </c>
    </row>
    <row r="9" spans="1:9" ht="109.5" customHeight="1" x14ac:dyDescent="0.3">
      <c r="A9" s="3" t="s">
        <v>79</v>
      </c>
      <c r="B9" s="4" t="s">
        <v>80</v>
      </c>
      <c r="C9" s="5" t="s">
        <v>81</v>
      </c>
      <c r="D9" s="6" t="s">
        <v>82</v>
      </c>
      <c r="E9" s="6" t="s">
        <v>83</v>
      </c>
      <c r="F9" s="6" t="s">
        <v>84</v>
      </c>
      <c r="G9" s="6" t="s">
        <v>85</v>
      </c>
      <c r="H9" s="6" t="s">
        <v>86</v>
      </c>
      <c r="I9" s="7" t="s">
        <v>46</v>
      </c>
    </row>
    <row r="10" spans="1:9" ht="109.5" customHeight="1" x14ac:dyDescent="0.3">
      <c r="A10" s="3" t="s">
        <v>87</v>
      </c>
      <c r="B10" s="4" t="s">
        <v>88</v>
      </c>
      <c r="C10" s="5" t="s">
        <v>89</v>
      </c>
      <c r="D10" s="6" t="s">
        <v>90</v>
      </c>
      <c r="E10" s="6" t="s">
        <v>91</v>
      </c>
      <c r="F10" s="6" t="s">
        <v>92</v>
      </c>
      <c r="G10" s="6" t="s">
        <v>93</v>
      </c>
      <c r="H10" s="6" t="s">
        <v>94</v>
      </c>
      <c r="I10" s="7" t="s">
        <v>46</v>
      </c>
    </row>
    <row r="11" spans="1:9" ht="109.5" customHeight="1" x14ac:dyDescent="0.3">
      <c r="A11" s="3" t="s">
        <v>95</v>
      </c>
      <c r="B11" s="4" t="s">
        <v>96</v>
      </c>
      <c r="C11" s="5" t="s">
        <v>97</v>
      </c>
      <c r="D11" s="6" t="s">
        <v>98</v>
      </c>
      <c r="E11" s="6" t="s">
        <v>99</v>
      </c>
      <c r="F11" s="6" t="s">
        <v>100</v>
      </c>
      <c r="G11" s="6" t="s">
        <v>101</v>
      </c>
      <c r="H11" s="6" t="s">
        <v>102</v>
      </c>
      <c r="I11" s="7" t="s">
        <v>46</v>
      </c>
    </row>
    <row r="12" spans="1:9" ht="109.5" customHeight="1" x14ac:dyDescent="0.3">
      <c r="A12" s="3" t="s">
        <v>103</v>
      </c>
      <c r="B12" s="4" t="s">
        <v>104</v>
      </c>
      <c r="C12" s="5" t="s">
        <v>105</v>
      </c>
      <c r="D12" s="6" t="s">
        <v>106</v>
      </c>
      <c r="E12" s="6" t="s">
        <v>107</v>
      </c>
      <c r="F12" s="6" t="s">
        <v>108</v>
      </c>
      <c r="G12" s="6" t="s">
        <v>109</v>
      </c>
      <c r="H12" s="6" t="s">
        <v>110</v>
      </c>
      <c r="I12" s="7" t="s">
        <v>46</v>
      </c>
    </row>
    <row r="13" spans="1:9" ht="109.5" customHeight="1" x14ac:dyDescent="0.3">
      <c r="A13" s="3" t="s">
        <v>111</v>
      </c>
      <c r="B13" s="4" t="s">
        <v>112</v>
      </c>
      <c r="C13" s="5" t="s">
        <v>113</v>
      </c>
      <c r="D13" s="6" t="s">
        <v>114</v>
      </c>
      <c r="E13" s="6" t="s">
        <v>115</v>
      </c>
      <c r="F13" s="6" t="s">
        <v>116</v>
      </c>
      <c r="G13" s="6" t="s">
        <v>117</v>
      </c>
      <c r="H13" s="6" t="s">
        <v>118</v>
      </c>
      <c r="I13" s="7" t="s">
        <v>46</v>
      </c>
    </row>
  </sheetData>
  <mergeCells count="1">
    <mergeCell ref="A1:I1"/>
  </mergeCells>
  <pageMargins left="0.3" right="0.3" top="0.4" bottom="0.4" header="0.5" footer="0.5"/>
  <pageSetup paperSize="9" fitToHeight="0"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C16"/>
  <sheetViews>
    <sheetView tabSelected="1" zoomScaleNormal="100" workbookViewId="0">
      <selection activeCell="J8" sqref="J8"/>
    </sheetView>
  </sheetViews>
  <sheetFormatPr baseColWidth="10" defaultColWidth="8.6640625" defaultRowHeight="14.4" x14ac:dyDescent="0.3"/>
  <cols>
    <col min="1" max="1" width="14" customWidth="1"/>
    <col min="2" max="2" width="38" customWidth="1"/>
    <col min="3" max="3" width="18" customWidth="1"/>
  </cols>
  <sheetData>
    <row r="1" spans="1:3" ht="27.75" customHeight="1" x14ac:dyDescent="0.3">
      <c r="A1" s="22" t="s">
        <v>119</v>
      </c>
      <c r="B1" s="14"/>
      <c r="C1" s="14"/>
    </row>
    <row r="2" spans="1:3" ht="7.5" customHeight="1" x14ac:dyDescent="0.3"/>
    <row r="3" spans="1:3" ht="27.75" customHeight="1" x14ac:dyDescent="0.3">
      <c r="A3" s="2" t="s">
        <v>120</v>
      </c>
      <c r="B3" s="2" t="s">
        <v>121</v>
      </c>
      <c r="C3" s="2" t="s">
        <v>122</v>
      </c>
    </row>
    <row r="4" spans="1:3" ht="21.75" customHeight="1" x14ac:dyDescent="0.3">
      <c r="A4" s="3" t="s">
        <v>123</v>
      </c>
      <c r="B4" s="8" t="s">
        <v>124</v>
      </c>
      <c r="C4" s="8" t="s">
        <v>125</v>
      </c>
    </row>
    <row r="5" spans="1:3" ht="21.75" customHeight="1" x14ac:dyDescent="0.3">
      <c r="A5" s="3" t="s">
        <v>123</v>
      </c>
      <c r="B5" s="8" t="s">
        <v>126</v>
      </c>
      <c r="C5" s="8" t="s">
        <v>125</v>
      </c>
    </row>
    <row r="6" spans="1:3" ht="21.75" customHeight="1" x14ac:dyDescent="0.3">
      <c r="A6" s="3" t="s">
        <v>123</v>
      </c>
      <c r="B6" s="8" t="s">
        <v>127</v>
      </c>
      <c r="C6" s="8" t="s">
        <v>125</v>
      </c>
    </row>
    <row r="7" spans="1:3" ht="21.75" customHeight="1" x14ac:dyDescent="0.3">
      <c r="A7" s="9" t="s">
        <v>128</v>
      </c>
      <c r="B7" s="8" t="s">
        <v>129</v>
      </c>
      <c r="C7" s="8" t="s">
        <v>130</v>
      </c>
    </row>
    <row r="8" spans="1:3" ht="21.75" customHeight="1" x14ac:dyDescent="0.3">
      <c r="A8" s="9" t="s">
        <v>128</v>
      </c>
      <c r="B8" s="8" t="s">
        <v>131</v>
      </c>
      <c r="C8" s="8" t="s">
        <v>130</v>
      </c>
    </row>
    <row r="9" spans="1:3" ht="7.5" customHeight="1" x14ac:dyDescent="0.3"/>
    <row r="10" spans="1:3" ht="15" customHeight="1" x14ac:dyDescent="0.3">
      <c r="A10" s="23" t="s">
        <v>132</v>
      </c>
      <c r="B10" s="14"/>
      <c r="C10" s="14"/>
    </row>
    <row r="11" spans="1:3" ht="15" customHeight="1" x14ac:dyDescent="0.3">
      <c r="A11" s="24" t="s">
        <v>133</v>
      </c>
      <c r="B11" s="11"/>
      <c r="C11" s="11"/>
    </row>
    <row r="12" spans="1:3" ht="15" customHeight="1" x14ac:dyDescent="0.3">
      <c r="A12" s="24" t="s">
        <v>134</v>
      </c>
      <c r="B12" s="11"/>
      <c r="C12" s="11"/>
    </row>
    <row r="13" spans="1:3" ht="15" customHeight="1" x14ac:dyDescent="0.3">
      <c r="A13" s="24" t="s">
        <v>135</v>
      </c>
      <c r="B13" s="11"/>
      <c r="C13" s="11"/>
    </row>
    <row r="14" spans="1:3" ht="15" customHeight="1" x14ac:dyDescent="0.3">
      <c r="A14" s="24" t="s">
        <v>136</v>
      </c>
      <c r="B14" s="11"/>
      <c r="C14" s="11"/>
    </row>
    <row r="15" spans="1:3" ht="15" customHeight="1" x14ac:dyDescent="0.3">
      <c r="A15" s="24" t="s">
        <v>137</v>
      </c>
      <c r="B15" s="11"/>
      <c r="C15" s="11"/>
    </row>
    <row r="16" spans="1:3" ht="15" customHeight="1" x14ac:dyDescent="0.3">
      <c r="A16" s="24" t="s">
        <v>138</v>
      </c>
      <c r="B16" s="11"/>
      <c r="C16" s="11"/>
    </row>
  </sheetData>
  <mergeCells count="8">
    <mergeCell ref="A16:C16"/>
    <mergeCell ref="A15:C15"/>
    <mergeCell ref="A10:C10"/>
    <mergeCell ref="A13:C13"/>
    <mergeCell ref="A11:C11"/>
    <mergeCell ref="A1:C1"/>
    <mergeCell ref="A14:C14"/>
    <mergeCell ref="A12:C12"/>
  </mergeCells>
  <pageMargins left="0.4" right="0.4" top="0.5" bottom="0.5" header="0.5" footer="0.5"/>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3</vt:i4>
      </vt:variant>
      <vt:variant>
        <vt:lpstr>Plages nommées</vt:lpstr>
      </vt:variant>
      <vt:variant>
        <vt:i4>1</vt:i4>
      </vt:variant>
    </vt:vector>
  </HeadingPairs>
  <TitlesOfParts>
    <vt:vector size="4" baseType="lpstr">
      <vt:lpstr>Synthèse</vt:lpstr>
      <vt:lpstr>Cas de test</vt:lpstr>
      <vt:lpstr>Comptes seed</vt:lpstr>
      <vt:lpstr>'Cas de test'!Impression_des_titres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Nathalie Leduc</cp:lastModifiedBy>
  <cp:revision>0</cp:revision>
  <dcterms:created xsi:type="dcterms:W3CDTF">2026-05-19T15:10:27Z</dcterms:created>
  <dcterms:modified xsi:type="dcterms:W3CDTF">2026-05-19T15:21:41Z</dcterms:modified>
  <dc:language>en-US</dc:language>
</cp:coreProperties>
</file>